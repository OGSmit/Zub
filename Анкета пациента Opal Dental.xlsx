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9510" yWindow="0" windowWidth="9780" windowHeight="10170"/>
  </bookViews>
  <sheets>
    <sheet name="FORM_RU" sheetId="3" r:id="rId1"/>
    <sheet name="QUOTATION_RU" sheetId="5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5" l="1"/>
  <c r="G11" i="5" s="1"/>
  <c r="E10" i="5"/>
  <c r="G10" i="5" s="1"/>
  <c r="E9" i="5"/>
  <c r="G9" i="5" s="1"/>
  <c r="E8" i="5"/>
  <c r="H31" i="3"/>
  <c r="D31" i="3"/>
  <c r="E31" i="3" s="1"/>
  <c r="G31" i="3" s="1"/>
  <c r="B31" i="3"/>
  <c r="H30" i="3"/>
  <c r="D30" i="3"/>
  <c r="E30" i="3" s="1"/>
  <c r="G30" i="3" s="1"/>
  <c r="B30" i="3"/>
  <c r="H29" i="3"/>
  <c r="D29" i="3"/>
  <c r="E29" i="3" s="1"/>
  <c r="G29" i="3" s="1"/>
  <c r="B29" i="3"/>
  <c r="H28" i="3"/>
  <c r="D28" i="3"/>
  <c r="E28" i="3" s="1"/>
  <c r="G28" i="3" s="1"/>
  <c r="B28" i="3"/>
  <c r="H27" i="3"/>
  <c r="D27" i="3"/>
  <c r="E27" i="3" s="1"/>
  <c r="G27" i="3" s="1"/>
  <c r="B27" i="3"/>
  <c r="H26" i="3"/>
  <c r="D26" i="3"/>
  <c r="E26" i="3" s="1"/>
  <c r="G26" i="3" s="1"/>
  <c r="B26" i="3"/>
  <c r="H25" i="3"/>
  <c r="D25" i="3"/>
  <c r="E25" i="3" s="1"/>
  <c r="G25" i="3" s="1"/>
  <c r="B25" i="3"/>
  <c r="H24" i="3"/>
  <c r="D24" i="3"/>
  <c r="E24" i="3" s="1"/>
  <c r="G24" i="3" s="1"/>
  <c r="B24" i="3"/>
  <c r="H23" i="3"/>
  <c r="D23" i="3"/>
  <c r="E23" i="3" s="1"/>
  <c r="G23" i="3" s="1"/>
  <c r="B23" i="3"/>
  <c r="H22" i="3"/>
  <c r="D22" i="3"/>
  <c r="E22" i="3" s="1"/>
  <c r="G22" i="3" s="1"/>
  <c r="B22" i="3"/>
  <c r="H21" i="3"/>
  <c r="D21" i="3"/>
  <c r="E21" i="3" s="1"/>
  <c r="G21" i="3" s="1"/>
  <c r="B21" i="3"/>
  <c r="H20" i="3"/>
  <c r="D20" i="3"/>
  <c r="E20" i="3" s="1"/>
  <c r="G20" i="3" s="1"/>
  <c r="B20" i="3"/>
  <c r="H19" i="3"/>
  <c r="D19" i="3"/>
  <c r="E19" i="3" s="1"/>
  <c r="G19" i="3" s="1"/>
  <c r="B19" i="3"/>
  <c r="H18" i="3"/>
  <c r="D18" i="3"/>
  <c r="E18" i="3" s="1"/>
  <c r="G18" i="3" s="1"/>
  <c r="B18" i="3"/>
  <c r="H17" i="3"/>
  <c r="D17" i="3"/>
  <c r="E17" i="3" s="1"/>
  <c r="G17" i="3" s="1"/>
  <c r="B17" i="3"/>
  <c r="F6" i="3"/>
  <c r="E12" i="5" l="1"/>
  <c r="G12" i="5" s="1"/>
  <c r="G8" i="5"/>
  <c r="I33" i="3"/>
  <c r="G33" i="3"/>
  <c r="D33" i="3"/>
  <c r="D36" i="3" s="1"/>
</calcChain>
</file>

<file path=xl/sharedStrings.xml><?xml version="1.0" encoding="utf-8"?>
<sst xmlns="http://schemas.openxmlformats.org/spreadsheetml/2006/main" count="47" uniqueCount="44">
  <si>
    <t>Email</t>
  </si>
  <si>
    <t>OPAL DENTAL CLINIC</t>
  </si>
  <si>
    <t>300 Le Hong Phong, Phuoc Hai ward, Nha Trang city, Khanh Hoa province, Vietnam</t>
  </si>
  <si>
    <t>www.nhakhoaopal.com</t>
  </si>
  <si>
    <t>Enter discount (VND)</t>
  </si>
  <si>
    <t>Total</t>
  </si>
  <si>
    <t/>
  </si>
  <si>
    <t xml:space="preserve"> </t>
  </si>
  <si>
    <t>ФОРМА ПРЕДВАРИТЕЛЬНОГО РАСЧЁТА СТОИМОСТИ ЛЕЧЕНИЯ – OPAL DENTAL</t>
  </si>
  <si>
    <t>1) ИНФОРМАЦИЯ О ПАЦИЕНТЕ (обязательно)</t>
  </si>
  <si>
    <t>ФИО</t>
  </si>
  <si>
    <t>Дата рождения</t>
  </si>
  <si>
    <t>Телефон</t>
  </si>
  <si>
    <t>Национальность</t>
  </si>
  <si>
    <t>Дата отправки</t>
  </si>
  <si>
    <t>Основные жалобы / потребности</t>
  </si>
  <si>
    <t>2) ИНФОРМАЦИЯ О СОСТОЯНИИ ЗДОРОВЬЯ (помогает врачу более точно рассчитать план и стоимость лечения)</t>
  </si>
  <si>
    <t>Есть ли у вас хронические заболевания / принимаете ли вы какие-либо лекарства?</t>
  </si>
  <si>
    <t>Есть ли у вас аллергия на лекарства или анестезию?</t>
  </si>
  <si>
    <t>Курите ли вы?</t>
  </si>
  <si>
    <t>(Для женщин)
Беременность или период грудного вскармливания (при наличии)</t>
  </si>
  <si>
    <t>Код услуги</t>
  </si>
  <si>
    <t>Услуга</t>
  </si>
  <si>
    <t>Кол-во</t>
  </si>
  <si>
    <t>Цена за единицу (VND)</t>
  </si>
  <si>
    <t>Сумма</t>
  </si>
  <si>
    <t>Скидка (VND)</t>
  </si>
  <si>
    <t xml:space="preserve">К оплате </t>
  </si>
  <si>
    <t>Кол-во визитов</t>
  </si>
  <si>
    <t>3) ПЛАНИРУЕМЫЕ СТОМАТОЛОГИЧЕСКИЕ УСЛУГИ В OPAL DENTAL</t>
  </si>
  <si>
    <t>Комментарии</t>
  </si>
  <si>
    <t>Промежуточная сумма (с учётом скидок)</t>
  </si>
  <si>
    <t>Доп. скидка (%)</t>
  </si>
  <si>
    <t>Доп. скидка (VND)</t>
  </si>
  <si>
    <t>ИТОГОВАЯ ОРИЕНТИРОВОЧНАЯ СУММА К ОПЛАТЕ</t>
  </si>
  <si>
    <t>Данный расчёт является предварительным и основан на информации, предоставленной пациентом.
Окончательная стоимость и продолжительность лечения могут измениться после очного осмотра врача и рентгенологического обследования (при необходимости).</t>
  </si>
  <si>
    <t>Количество визитов (ориентировочно)</t>
  </si>
  <si>
    <t>СПИСОК СТОИМОСТИ ЛЕЧЕНИЯ</t>
  </si>
  <si>
    <t>№</t>
  </si>
  <si>
    <t>ДАННЫЕ ЛЕЧЕНИЯ</t>
  </si>
  <si>
    <t>Цена</t>
  </si>
  <si>
    <t>Стоимость</t>
  </si>
  <si>
    <t>Скидка</t>
  </si>
  <si>
    <t>Оплата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</si>
</sst>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#,##0&quot; VND&quot;"/>
    <numFmt numFmtId="165" formatCode="0.0%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</font>
    <font>
      <b/>
      <sz val="12"/>
      <color theme="1"/>
      <name val="Times New Roman"/>
    </font>
    <font>
      <sz val="12"/>
      <color theme="1"/>
      <name val="Times New Roman"/>
    </font>
    <font>
      <u/>
      <sz val="11"/>
      <color theme="10"/>
      <name val="Calibri"/>
      <scheme val="minor"/>
    </font>
    <font>
      <u/>
      <sz val="12"/>
      <color theme="10"/>
      <name val="Times New Roman"/>
    </font>
    <font>
      <b/>
      <sz val="15"/>
      <color theme="1"/>
      <name val="Times New Roman"/>
    </font>
    <font>
      <b/>
      <sz val="11"/>
      <color theme="1"/>
      <name val="Times New Roman"/>
    </font>
    <font>
      <i/>
      <sz val="9"/>
      <color rgb="FF7F7F7F"/>
      <name val="Times New Roman"/>
    </font>
    <font>
      <b/>
      <sz val="12"/>
      <color rgb="FFFFFFFF"/>
      <name val="Times New Roman"/>
    </font>
    <font>
      <sz val="11"/>
      <name val="Times New Roman"/>
    </font>
    <font>
      <b/>
      <sz val="16"/>
      <color rgb="FFFFFFFF"/>
      <name val="Times New Roman"/>
    </font>
    <font>
      <b/>
      <sz val="12"/>
      <color rgb="FF1F4E79"/>
      <name val="Times New Roman"/>
    </font>
    <font>
      <b/>
      <sz val="11"/>
      <color rgb="FF1F4E79"/>
      <name val="Times New Roman"/>
    </font>
    <font>
      <sz val="11"/>
      <color rgb="FF0000FF"/>
      <name val="Times New Roman"/>
    </font>
    <font>
      <b/>
      <sz val="11"/>
      <name val="Times New Roman"/>
    </font>
    <font>
      <b/>
      <sz val="12"/>
      <color rgb="FFC00000"/>
      <name val="Times New Roman"/>
    </font>
    <font>
      <i/>
      <sz val="10"/>
      <color rgb="FF7F0000"/>
      <name val="Times New Roman"/>
    </font>
    <font>
      <b/>
      <sz val="11"/>
      <color rgb="FF000000"/>
      <name val="Times New Roman"/>
    </font>
    <font>
      <b/>
      <sz val="12"/>
      <color theme="1"/>
      <name val="Times New Roman"/>
      <charset val="134"/>
    </font>
    <font>
      <b/>
      <sz val="12"/>
      <color theme="1"/>
      <name val="Times New Roman"/>
      <family val="1"/>
      <charset val="163"/>
    </font>
  </fonts>
  <fills count="9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1F4E79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F8CBAD"/>
      </patternFill>
    </fill>
    <fill>
      <patternFill patternType="solid">
        <fgColor rgb="FFD9D9D9"/>
      </patternFill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3">
    <xf numFmtId="0" fontId="0" fillId="0" borderId="0"/>
    <xf numFmtId="43" fontId="1" fillId="0" borderId="0"/>
    <xf numFmtId="0" fontId="5" fillId="0" borderId="0"/>
  </cellStyleXfs>
  <cellXfs count="6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0" borderId="0" xfId="2" applyFont="1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2" fillId="0" borderId="0" xfId="0" applyFont="1" applyAlignment="1">
      <alignment wrapText="1"/>
    </xf>
    <xf numFmtId="0" fontId="3" fillId="0" borderId="3" xfId="0" applyFont="1" applyBorder="1" applyAlignment="1">
      <alignment horizontal="center" wrapText="1"/>
    </xf>
    <xf numFmtId="0" fontId="2" fillId="0" borderId="1" xfId="0" applyFont="1" applyBorder="1"/>
    <xf numFmtId="0" fontId="8" fillId="0" borderId="1" xfId="0" applyFont="1" applyBorder="1"/>
    <xf numFmtId="0" fontId="4" fillId="0" borderId="1" xfId="0" applyFont="1" applyBorder="1"/>
    <xf numFmtId="0" fontId="14" fillId="0" borderId="5" xfId="0" applyFont="1" applyBorder="1" applyAlignment="1">
      <alignment horizontal="left" vertical="center"/>
    </xf>
    <xf numFmtId="0" fontId="15" fillId="5" borderId="4" xfId="0" applyFont="1" applyFill="1" applyBorder="1" applyAlignment="1">
      <alignment horizontal="left" vertical="center" wrapText="1"/>
    </xf>
    <xf numFmtId="0" fontId="0" fillId="0" borderId="4" xfId="0" applyBorder="1"/>
    <xf numFmtId="0" fontId="11" fillId="0" borderId="4" xfId="0" applyFont="1" applyBorder="1" applyAlignment="1">
      <alignment horizontal="left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5" fillId="5" borderId="4" xfId="0" applyFont="1" applyFill="1" applyBorder="1" applyAlignment="1">
      <alignment horizontal="center" vertical="center" wrapText="1"/>
    </xf>
    <xf numFmtId="1" fontId="15" fillId="5" borderId="4" xfId="0" applyNumberFormat="1" applyFont="1" applyFill="1" applyBorder="1" applyAlignment="1">
      <alignment horizontal="center" vertical="center" wrapText="1"/>
    </xf>
    <xf numFmtId="1" fontId="0" fillId="0" borderId="4" xfId="0" applyNumberFormat="1" applyBorder="1" applyAlignment="1">
      <alignment horizontal="center" vertical="center" wrapText="1"/>
    </xf>
    <xf numFmtId="1" fontId="16" fillId="0" borderId="0" xfId="0" applyNumberFormat="1" applyFont="1" applyAlignment="1">
      <alignment horizontal="center" vertical="center" wrapText="1"/>
    </xf>
    <xf numFmtId="165" fontId="15" fillId="5" borderId="0" xfId="0" applyNumberFormat="1" applyFont="1" applyFill="1"/>
    <xf numFmtId="0" fontId="9" fillId="0" borderId="0" xfId="0" applyFont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64" fontId="0" fillId="0" borderId="4" xfId="0" applyNumberFormat="1" applyBorder="1"/>
    <xf numFmtId="164" fontId="15" fillId="5" borderId="4" xfId="0" applyNumberFormat="1" applyFont="1" applyFill="1" applyBorder="1" applyAlignment="1">
      <alignment horizontal="right" vertical="center"/>
    </xf>
    <xf numFmtId="164" fontId="16" fillId="0" borderId="0" xfId="0" applyNumberFormat="1" applyFont="1" applyAlignment="1">
      <alignment horizontal="right" vertical="center"/>
    </xf>
    <xf numFmtId="0" fontId="16" fillId="7" borderId="8" xfId="0" applyFont="1" applyFill="1" applyBorder="1" applyAlignment="1">
      <alignment horizontal="left" vertical="center" wrapText="1"/>
    </xf>
    <xf numFmtId="3" fontId="19" fillId="0" borderId="8" xfId="0" applyNumberFormat="1" applyFont="1" applyBorder="1" applyAlignment="1">
      <alignment horizontal="center" vertical="center"/>
    </xf>
    <xf numFmtId="0" fontId="0" fillId="8" borderId="8" xfId="0" applyFill="1" applyBorder="1"/>
    <xf numFmtId="164" fontId="15" fillId="5" borderId="0" xfId="0" applyNumberFormat="1" applyFont="1" applyFill="1"/>
    <xf numFmtId="164" fontId="17" fillId="0" borderId="0" xfId="0" applyNumberFormat="1" applyFont="1" applyAlignment="1">
      <alignment horizontal="right" vertical="center"/>
    </xf>
    <xf numFmtId="164" fontId="4" fillId="0" borderId="1" xfId="1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4" fontId="4" fillId="0" borderId="1" xfId="1" applyNumberFormat="1" applyFont="1" applyBorder="1" applyAlignment="1">
      <alignment horizontal="right" vertical="center"/>
    </xf>
    <xf numFmtId="164" fontId="2" fillId="0" borderId="1" xfId="0" applyNumberFormat="1" applyFont="1" applyBorder="1"/>
    <xf numFmtId="164" fontId="3" fillId="0" borderId="1" xfId="0" applyNumberFormat="1" applyFont="1" applyBorder="1"/>
    <xf numFmtId="164" fontId="3" fillId="2" borderId="1" xfId="0" applyNumberFormat="1" applyFont="1" applyFill="1" applyBorder="1"/>
    <xf numFmtId="0" fontId="14" fillId="0" borderId="5" xfId="0" applyFont="1" applyBorder="1" applyAlignment="1">
      <alignment horizontal="left" vertical="center" wrapText="1"/>
    </xf>
    <xf numFmtId="0" fontId="20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/>
    </xf>
    <xf numFmtId="0" fontId="12" fillId="3" borderId="0" xfId="0" applyFont="1" applyFill="1" applyAlignment="1">
      <alignment horizontal="center" vertical="center" wrapText="1"/>
    </xf>
    <xf numFmtId="0" fontId="0" fillId="0" borderId="0" xfId="0"/>
    <xf numFmtId="0" fontId="15" fillId="5" borderId="4" xfId="0" applyFont="1" applyFill="1" applyBorder="1" applyAlignment="1">
      <alignment horizontal="left" vertical="center" wrapText="1"/>
    </xf>
    <xf numFmtId="0" fontId="0" fillId="0" borderId="6" xfId="0" applyBorder="1"/>
    <xf numFmtId="0" fontId="0" fillId="0" borderId="7" xfId="0" applyBorder="1"/>
    <xf numFmtId="0" fontId="11" fillId="0" borderId="0" xfId="0" applyFont="1" applyAlignment="1">
      <alignment horizontal="right" vertical="center"/>
    </xf>
    <xf numFmtId="14" fontId="15" fillId="5" borderId="4" xfId="0" applyNumberFormat="1" applyFont="1" applyFill="1" applyBorder="1" applyAlignment="1">
      <alignment horizontal="left" vertical="center" wrapText="1"/>
    </xf>
    <xf numFmtId="0" fontId="13" fillId="4" borderId="0" xfId="0" applyFont="1" applyFill="1" applyAlignment="1">
      <alignment horizontal="left" vertical="center"/>
    </xf>
    <xf numFmtId="0" fontId="18" fillId="6" borderId="0" xfId="0" applyFont="1" applyFill="1" applyAlignment="1">
      <alignment horizontal="left" vertical="top" wrapText="1"/>
    </xf>
    <xf numFmtId="0" fontId="17" fillId="0" borderId="0" xfId="0" applyFont="1" applyAlignment="1">
      <alignment horizontal="right" vertical="center" wrapText="1"/>
    </xf>
    <xf numFmtId="0" fontId="0" fillId="0" borderId="0" xfId="0" applyAlignment="1">
      <alignment horizontal="right" wrapText="1"/>
    </xf>
    <xf numFmtId="0" fontId="16" fillId="0" borderId="0" xfId="0" applyFont="1" applyAlignment="1">
      <alignment horizontal="right" vertical="center" wrapText="1"/>
    </xf>
    <xf numFmtId="0" fontId="0" fillId="0" borderId="0" xfId="0" applyAlignment="1">
      <alignment wrapText="1"/>
    </xf>
    <xf numFmtId="0" fontId="3" fillId="0" borderId="1" xfId="0" applyFont="1" applyBorder="1" applyAlignment="1">
      <alignment horizontal="center" wrapText="1"/>
    </xf>
    <xf numFmtId="0" fontId="0" fillId="0" borderId="2" xfId="0" applyBorder="1"/>
    <xf numFmtId="0" fontId="0" fillId="0" borderId="3" xfId="0" applyBorder="1"/>
    <xf numFmtId="0" fontId="7" fillId="0" borderId="0" xfId="0" applyFont="1" applyAlignment="1">
      <alignment horizontal="center"/>
    </xf>
    <xf numFmtId="0" fontId="2" fillId="0" borderId="0" xfId="0" applyFont="1"/>
  </cellXfs>
  <cellStyles count="3">
    <cellStyle name="Comma" xfId="1"/>
    <cellStyle name="Hyperlink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897674</xdr:colOff>
      <xdr:row>0</xdr:row>
      <xdr:rowOff>37170</xdr:rowOff>
    </xdr:from>
    <xdr:to>
      <xdr:col>1</xdr:col>
      <xdr:colOff>2176463</xdr:colOff>
      <xdr:row>5</xdr:row>
      <xdr:rowOff>74612</xdr:rowOff>
    </xdr:to>
    <xdr:pic>
      <xdr:nvPicPr>
        <xdr:cNvPr id="2" name="/xl/media/image1.jpeg">
          <a:extLst>
            <a:ext uri="{FF2B5EF4-FFF2-40B4-BE49-F238E27FC236}">
              <a16:creationId xmlns:a16="http://schemas.microsoft.com/office/drawing/2014/main" id="{1B274069-63DB-4E29-B720-A12D9DE10B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2624" y="37170"/>
          <a:ext cx="1278789" cy="9581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Views>
    <sheetView tabSelected="1" workbookViewId="0">
      <selection activeCell="H10" sqref="H10"/>
    </sheetView>
  </sheetViews>
  <sheetFormatPr defaultRowHeight="14.25"/>
  <cols>
    <col min="1" max="1" width="16.06640625" bestFit="1" customWidth="1"/>
    <col min="2" max="2" width="7.796875" bestFit="1" customWidth="1"/>
    <col min="3" max="3" width="5.33203125" bestFit="1" customWidth="1"/>
    <col min="4" max="4" width="9.06640625" bestFit="1" customWidth="1"/>
    <col min="5" max="5" width="14.59765625" bestFit="1" customWidth="1"/>
    <col min="6" max="6" width="12.9296875" bestFit="1" customWidth="1"/>
    <col min="7" max="7" width="7.46484375" bestFit="1" customWidth="1"/>
    <col min="8" max="8" width="9.73046875" customWidth="1"/>
    <col min="9" max="9" width="15.9296875" customWidth="1"/>
  </cols>
  <sheetData>
    <row r="1" spans="1:9">
      <c r="A1" s="42" t="s">
        <v>8</v>
      </c>
      <c r="B1" s="43"/>
      <c r="C1" s="43"/>
      <c r="D1" s="43"/>
      <c r="E1" s="43"/>
      <c r="F1" s="43"/>
      <c r="G1" s="43"/>
      <c r="H1" s="43"/>
      <c r="I1" s="43"/>
    </row>
    <row r="3" spans="1:9" ht="15">
      <c r="A3" s="49" t="s">
        <v>9</v>
      </c>
      <c r="B3" s="43"/>
      <c r="C3" s="43"/>
      <c r="D3" s="43"/>
      <c r="E3" s="43"/>
      <c r="F3" s="43"/>
      <c r="G3" s="43"/>
      <c r="H3" s="43"/>
      <c r="I3" s="43"/>
    </row>
    <row r="4" spans="1:9">
      <c r="A4" s="12" t="s">
        <v>10</v>
      </c>
      <c r="B4" s="44"/>
      <c r="C4" s="45"/>
      <c r="D4" s="46"/>
      <c r="E4" s="12" t="s">
        <v>11</v>
      </c>
      <c r="F4" s="44"/>
      <c r="G4" s="45"/>
      <c r="H4" s="45"/>
      <c r="I4" s="46"/>
    </row>
    <row r="5" spans="1:9">
      <c r="A5" s="12" t="s">
        <v>12</v>
      </c>
      <c r="B5" s="44"/>
      <c r="C5" s="45"/>
      <c r="D5" s="46"/>
      <c r="E5" s="12" t="s">
        <v>0</v>
      </c>
      <c r="F5" s="44"/>
      <c r="G5" s="45"/>
      <c r="H5" s="45"/>
      <c r="I5" s="46"/>
    </row>
    <row r="6" spans="1:9">
      <c r="A6" s="12" t="s">
        <v>13</v>
      </c>
      <c r="B6" s="44"/>
      <c r="C6" s="45"/>
      <c r="D6" s="46"/>
      <c r="E6" s="12" t="s">
        <v>14</v>
      </c>
      <c r="F6" s="48">
        <f ca="1">TODAY()</f>
        <v>46042</v>
      </c>
      <c r="G6" s="45"/>
      <c r="H6" s="45"/>
      <c r="I6" s="46"/>
    </row>
    <row r="7" spans="1:9" ht="40.5">
      <c r="A7" s="38" t="s">
        <v>15</v>
      </c>
      <c r="B7" s="44"/>
      <c r="C7" s="45"/>
      <c r="D7" s="46"/>
    </row>
    <row r="9" spans="1:9" ht="15">
      <c r="A9" s="49" t="s">
        <v>16</v>
      </c>
      <c r="B9" s="43"/>
      <c r="C9" s="43"/>
      <c r="D9" s="43"/>
      <c r="E9" s="43"/>
      <c r="F9" s="43"/>
      <c r="G9" s="43"/>
      <c r="H9" s="43"/>
      <c r="I9" s="43"/>
    </row>
    <row r="10" spans="1:9" ht="83.25">
      <c r="A10" s="15" t="s">
        <v>17</v>
      </c>
      <c r="B10" s="44"/>
      <c r="C10" s="45"/>
      <c r="D10" s="46"/>
      <c r="E10" s="14"/>
      <c r="F10" s="14"/>
      <c r="G10" s="14"/>
      <c r="H10" s="14"/>
      <c r="I10" s="14"/>
    </row>
    <row r="11" spans="1:9" ht="55.5">
      <c r="A11" s="15" t="s">
        <v>18</v>
      </c>
      <c r="B11" s="44"/>
      <c r="C11" s="45"/>
      <c r="D11" s="46"/>
      <c r="E11" s="14"/>
      <c r="F11" s="14"/>
      <c r="G11" s="14"/>
      <c r="H11" s="14"/>
      <c r="I11" s="14"/>
    </row>
    <row r="12" spans="1:9">
      <c r="A12" s="15" t="s">
        <v>19</v>
      </c>
      <c r="B12" s="44"/>
      <c r="C12" s="45"/>
      <c r="D12" s="46"/>
      <c r="E12" s="14"/>
      <c r="F12" s="14"/>
      <c r="G12" s="14"/>
      <c r="H12" s="14"/>
      <c r="I12" s="14"/>
    </row>
    <row r="13" spans="1:9" ht="69.400000000000006">
      <c r="A13" s="15" t="s">
        <v>20</v>
      </c>
      <c r="B13" s="44"/>
      <c r="C13" s="45"/>
      <c r="D13" s="46"/>
      <c r="E13" s="14"/>
      <c r="F13" s="14"/>
      <c r="G13" s="14"/>
      <c r="H13" s="14"/>
      <c r="I13" s="14"/>
    </row>
    <row r="15" spans="1:9" ht="15">
      <c r="A15" s="49" t="s">
        <v>29</v>
      </c>
      <c r="B15" s="43"/>
      <c r="C15" s="43"/>
      <c r="D15" s="43"/>
      <c r="E15" s="43"/>
      <c r="F15" s="43"/>
      <c r="G15" s="43"/>
      <c r="H15" s="43"/>
      <c r="I15" s="43"/>
    </row>
    <row r="16" spans="1:9" ht="45">
      <c r="A16" s="16" t="s">
        <v>21</v>
      </c>
      <c r="B16" s="16" t="s">
        <v>22</v>
      </c>
      <c r="C16" s="16" t="s">
        <v>23</v>
      </c>
      <c r="D16" s="16" t="s">
        <v>24</v>
      </c>
      <c r="E16" s="16" t="s">
        <v>25</v>
      </c>
      <c r="F16" s="16" t="s">
        <v>26</v>
      </c>
      <c r="G16" s="16" t="s">
        <v>27</v>
      </c>
      <c r="H16" s="16" t="s">
        <v>28</v>
      </c>
      <c r="I16" s="16" t="s">
        <v>30</v>
      </c>
    </row>
    <row r="17" spans="1:9">
      <c r="A17" s="17"/>
      <c r="B17" s="14" t="str">
        <f>IF(A17="","",VLOOKUP(A17,#REF!,2,FALSE))</f>
        <v/>
      </c>
      <c r="C17" s="18"/>
      <c r="D17" s="24" t="str">
        <f>IF(A17="","",VLOOKUP(A17,#REF!,4,FALSE))</f>
        <v/>
      </c>
      <c r="E17" s="24">
        <f t="shared" ref="E17:E31" si="0">IFERROR(C17*D17,0)</f>
        <v>0</v>
      </c>
      <c r="F17" s="25"/>
      <c r="G17" s="24">
        <f t="shared" ref="G17:G31" si="1">MAX(0,E17-IF(F17="",0,F17))</f>
        <v>0</v>
      </c>
      <c r="H17" s="19" t="str">
        <f>IF(A17="","",VLOOKUP(A17,#REF!,6,FALSE)*IF(C17="",0,C17))</f>
        <v/>
      </c>
      <c r="I17" s="13"/>
    </row>
    <row r="18" spans="1:9">
      <c r="A18" s="17"/>
      <c r="B18" s="14" t="str">
        <f>IF(A18="","",VLOOKUP(A18,#REF!,2,FALSE))</f>
        <v/>
      </c>
      <c r="C18" s="18"/>
      <c r="D18" s="24" t="str">
        <f>IF(A18="","",VLOOKUP(A18,#REF!,4,FALSE))</f>
        <v/>
      </c>
      <c r="E18" s="24">
        <f t="shared" si="0"/>
        <v>0</v>
      </c>
      <c r="F18" s="25"/>
      <c r="G18" s="24">
        <f t="shared" si="1"/>
        <v>0</v>
      </c>
      <c r="H18" s="19" t="str">
        <f>IF(A18="","",VLOOKUP(A18,#REF!,6,FALSE)*IF(C18="",0,C18))</f>
        <v/>
      </c>
      <c r="I18" s="13"/>
    </row>
    <row r="19" spans="1:9">
      <c r="A19" s="17"/>
      <c r="B19" s="14" t="str">
        <f>IF(A19="","",VLOOKUP(A19,#REF!,2,FALSE))</f>
        <v/>
      </c>
      <c r="C19" s="18"/>
      <c r="D19" s="24" t="str">
        <f>IF(A19="","",VLOOKUP(A19,#REF!,4,FALSE))</f>
        <v/>
      </c>
      <c r="E19" s="24">
        <f t="shared" si="0"/>
        <v>0</v>
      </c>
      <c r="F19" s="25"/>
      <c r="G19" s="24">
        <f t="shared" si="1"/>
        <v>0</v>
      </c>
      <c r="H19" s="19" t="str">
        <f>IF(A19="","",VLOOKUP(A19,#REF!,6,FALSE)*IF(C19="",0,C19))</f>
        <v/>
      </c>
      <c r="I19" s="13"/>
    </row>
    <row r="20" spans="1:9">
      <c r="A20" s="17"/>
      <c r="B20" s="14" t="str">
        <f>IF(A20="","",VLOOKUP(A20,#REF!,2,FALSE))</f>
        <v/>
      </c>
      <c r="C20" s="18"/>
      <c r="D20" s="24" t="str">
        <f>IF(A20="","",VLOOKUP(A20,#REF!,4,FALSE))</f>
        <v/>
      </c>
      <c r="E20" s="24">
        <f t="shared" si="0"/>
        <v>0</v>
      </c>
      <c r="F20" s="25"/>
      <c r="G20" s="24">
        <f t="shared" si="1"/>
        <v>0</v>
      </c>
      <c r="H20" s="19" t="str">
        <f>IF(A20="","",VLOOKUP(A20,#REF!,6,FALSE)*IF(C20="",0,C20))</f>
        <v/>
      </c>
      <c r="I20" s="13"/>
    </row>
    <row r="21" spans="1:9">
      <c r="A21" s="17"/>
      <c r="B21" s="14" t="str">
        <f>IF(A21="","",VLOOKUP(A21,#REF!,2,FALSE))</f>
        <v/>
      </c>
      <c r="C21" s="18"/>
      <c r="D21" s="24" t="str">
        <f>IF(A21="","",VLOOKUP(A21,#REF!,4,FALSE))</f>
        <v/>
      </c>
      <c r="E21" s="24">
        <f t="shared" si="0"/>
        <v>0</v>
      </c>
      <c r="F21" s="25"/>
      <c r="G21" s="24">
        <f t="shared" si="1"/>
        <v>0</v>
      </c>
      <c r="H21" s="19" t="str">
        <f>IF(A21="","",VLOOKUP(A21,#REF!,6,FALSE)*IF(C21="",0,C21))</f>
        <v/>
      </c>
      <c r="I21" s="13"/>
    </row>
    <row r="22" spans="1:9">
      <c r="A22" s="17"/>
      <c r="B22" s="14" t="str">
        <f>IF(A22="","",VLOOKUP(A22,#REF!,2,FALSE))</f>
        <v/>
      </c>
      <c r="C22" s="18"/>
      <c r="D22" s="24" t="str">
        <f>IF(A22="","",VLOOKUP(A22,#REF!,4,FALSE))</f>
        <v/>
      </c>
      <c r="E22" s="24">
        <f t="shared" si="0"/>
        <v>0</v>
      </c>
      <c r="F22" s="25"/>
      <c r="G22" s="24">
        <f t="shared" si="1"/>
        <v>0</v>
      </c>
      <c r="H22" s="19" t="str">
        <f>IF(A22="","",VLOOKUP(A22,#REF!,6,FALSE)*IF(C22="",0,C22))</f>
        <v/>
      </c>
      <c r="I22" s="13"/>
    </row>
    <row r="23" spans="1:9">
      <c r="A23" s="17"/>
      <c r="B23" s="14" t="str">
        <f>IF(A23="","",VLOOKUP(A23,#REF!,2,FALSE))</f>
        <v/>
      </c>
      <c r="C23" s="18"/>
      <c r="D23" s="24" t="str">
        <f>IF(A23="","",VLOOKUP(A23,#REF!,4,FALSE))</f>
        <v/>
      </c>
      <c r="E23" s="24">
        <f t="shared" si="0"/>
        <v>0</v>
      </c>
      <c r="F23" s="25"/>
      <c r="G23" s="24">
        <f t="shared" si="1"/>
        <v>0</v>
      </c>
      <c r="H23" s="19" t="str">
        <f>IF(A23="","",VLOOKUP(A23,#REF!,6,FALSE)*IF(C23="",0,C23))</f>
        <v/>
      </c>
      <c r="I23" s="13"/>
    </row>
    <row r="24" spans="1:9">
      <c r="A24" s="17"/>
      <c r="B24" s="14" t="str">
        <f>IF(A24="","",VLOOKUP(A24,#REF!,2,FALSE))</f>
        <v/>
      </c>
      <c r="C24" s="18"/>
      <c r="D24" s="24" t="str">
        <f>IF(A24="","",VLOOKUP(A24,#REF!,4,FALSE))</f>
        <v/>
      </c>
      <c r="E24" s="24">
        <f t="shared" si="0"/>
        <v>0</v>
      </c>
      <c r="F24" s="25"/>
      <c r="G24" s="24">
        <f t="shared" si="1"/>
        <v>0</v>
      </c>
      <c r="H24" s="19" t="str">
        <f>IF(A24="","",VLOOKUP(A24,#REF!,6,FALSE)*IF(C24="",0,C24))</f>
        <v/>
      </c>
      <c r="I24" s="13"/>
    </row>
    <row r="25" spans="1:9">
      <c r="A25" s="17"/>
      <c r="B25" s="14" t="str">
        <f>IF(A25="","",VLOOKUP(A25,#REF!,2,FALSE))</f>
        <v/>
      </c>
      <c r="C25" s="18"/>
      <c r="D25" s="24" t="str">
        <f>IF(A25="","",VLOOKUP(A25,#REF!,4,FALSE))</f>
        <v/>
      </c>
      <c r="E25" s="24">
        <f t="shared" si="0"/>
        <v>0</v>
      </c>
      <c r="F25" s="25"/>
      <c r="G25" s="24">
        <f t="shared" si="1"/>
        <v>0</v>
      </c>
      <c r="H25" s="19" t="str">
        <f>IF(A25="","",VLOOKUP(A25,#REF!,6,FALSE)*IF(C25="",0,C25))</f>
        <v/>
      </c>
      <c r="I25" s="13"/>
    </row>
    <row r="26" spans="1:9">
      <c r="A26" s="17"/>
      <c r="B26" s="14" t="str">
        <f>IF(A26="","",VLOOKUP(A26,#REF!,2,FALSE))</f>
        <v/>
      </c>
      <c r="C26" s="18"/>
      <c r="D26" s="24" t="str">
        <f>IF(A26="","",VLOOKUP(A26,#REF!,4,FALSE))</f>
        <v/>
      </c>
      <c r="E26" s="24">
        <f t="shared" si="0"/>
        <v>0</v>
      </c>
      <c r="F26" s="25"/>
      <c r="G26" s="24">
        <f t="shared" si="1"/>
        <v>0</v>
      </c>
      <c r="H26" s="19" t="str">
        <f>IF(A26="","",VLOOKUP(A26,#REF!,6,FALSE)*IF(C26="",0,C26))</f>
        <v/>
      </c>
      <c r="I26" s="13"/>
    </row>
    <row r="27" spans="1:9">
      <c r="A27" s="17"/>
      <c r="B27" s="14" t="str">
        <f>IF(A27="","",VLOOKUP(A27,#REF!,2,FALSE))</f>
        <v/>
      </c>
      <c r="C27" s="18"/>
      <c r="D27" s="24" t="str">
        <f>IF(A27="","",VLOOKUP(A27,#REF!,4,FALSE))</f>
        <v/>
      </c>
      <c r="E27" s="24">
        <f t="shared" si="0"/>
        <v>0</v>
      </c>
      <c r="F27" s="25"/>
      <c r="G27" s="24">
        <f t="shared" si="1"/>
        <v>0</v>
      </c>
      <c r="H27" s="19" t="str">
        <f>IF(A27="","",VLOOKUP(A27,#REF!,6,FALSE)*IF(C27="",0,C27))</f>
        <v/>
      </c>
      <c r="I27" s="13"/>
    </row>
    <row r="28" spans="1:9">
      <c r="A28" s="17"/>
      <c r="B28" s="14" t="str">
        <f>IF(A28="","",VLOOKUP(A28,#REF!,2,FALSE))</f>
        <v/>
      </c>
      <c r="C28" s="18"/>
      <c r="D28" s="24" t="str">
        <f>IF(A28="","",VLOOKUP(A28,#REF!,4,FALSE))</f>
        <v/>
      </c>
      <c r="E28" s="24">
        <f t="shared" si="0"/>
        <v>0</v>
      </c>
      <c r="F28" s="25"/>
      <c r="G28" s="24">
        <f t="shared" si="1"/>
        <v>0</v>
      </c>
      <c r="H28" s="19" t="str">
        <f>IF(A28="","",VLOOKUP(A28,#REF!,6,FALSE)*IF(C28="",0,C28))</f>
        <v/>
      </c>
      <c r="I28" s="13"/>
    </row>
    <row r="29" spans="1:9">
      <c r="A29" s="17"/>
      <c r="B29" s="14" t="str">
        <f>IF(A29="","",VLOOKUP(A29,#REF!,2,FALSE))</f>
        <v/>
      </c>
      <c r="C29" s="18"/>
      <c r="D29" s="24" t="str">
        <f>IF(A29="","",VLOOKUP(A29,#REF!,4,FALSE))</f>
        <v/>
      </c>
      <c r="E29" s="24">
        <f t="shared" si="0"/>
        <v>0</v>
      </c>
      <c r="F29" s="25"/>
      <c r="G29" s="24">
        <f t="shared" si="1"/>
        <v>0</v>
      </c>
      <c r="H29" s="19" t="str">
        <f>IF(A29="","",VLOOKUP(A29,#REF!,6,FALSE)*IF(C29="",0,C29))</f>
        <v/>
      </c>
      <c r="I29" s="13"/>
    </row>
    <row r="30" spans="1:9">
      <c r="A30" s="17"/>
      <c r="B30" s="14" t="str">
        <f>IF(A30="","",VLOOKUP(A30,#REF!,2,FALSE))</f>
        <v/>
      </c>
      <c r="C30" s="18"/>
      <c r="D30" s="24" t="str">
        <f>IF(A30="","",VLOOKUP(A30,#REF!,4,FALSE))</f>
        <v/>
      </c>
      <c r="E30" s="24">
        <f t="shared" si="0"/>
        <v>0</v>
      </c>
      <c r="F30" s="25"/>
      <c r="G30" s="24">
        <f t="shared" si="1"/>
        <v>0</v>
      </c>
      <c r="H30" s="19" t="str">
        <f>IF(A30="","",VLOOKUP(A30,#REF!,6,FALSE)*IF(C30="",0,C30))</f>
        <v/>
      </c>
      <c r="I30" s="13"/>
    </row>
    <row r="31" spans="1:9">
      <c r="A31" s="17"/>
      <c r="B31" s="14" t="str">
        <f>IF(A31="","",VLOOKUP(A31,#REF!,2,FALSE))</f>
        <v/>
      </c>
      <c r="C31" s="18"/>
      <c r="D31" s="24" t="str">
        <f>IF(A31="","",VLOOKUP(A31,#REF!,4,FALSE))</f>
        <v/>
      </c>
      <c r="E31" s="24">
        <f t="shared" si="0"/>
        <v>0</v>
      </c>
      <c r="F31" s="25"/>
      <c r="G31" s="24">
        <f t="shared" si="1"/>
        <v>0</v>
      </c>
      <c r="H31" s="19" t="str">
        <f>IF(A31="","",VLOOKUP(A31,#REF!,6,FALSE)*IF(C31="",0,C31))</f>
        <v/>
      </c>
      <c r="I31" s="13"/>
    </row>
    <row r="33" spans="1:9" ht="54">
      <c r="A33" s="53" t="s">
        <v>31</v>
      </c>
      <c r="B33" s="54"/>
      <c r="C33" s="54"/>
      <c r="D33" s="26">
        <f>SUM(G17:G31)</f>
        <v>0</v>
      </c>
      <c r="F33" s="27" t="s">
        <v>36</v>
      </c>
      <c r="G33" s="28">
        <f>SUM(H17:H31)</f>
        <v>0</v>
      </c>
      <c r="H33" s="29"/>
      <c r="I33" s="20">
        <f>SUM(H17:H31)</f>
        <v>0</v>
      </c>
    </row>
    <row r="34" spans="1:9">
      <c r="A34" s="47" t="s">
        <v>32</v>
      </c>
      <c r="B34" s="43"/>
      <c r="C34" s="43"/>
      <c r="D34" s="21">
        <v>0</v>
      </c>
    </row>
    <row r="35" spans="1:9">
      <c r="A35" s="47" t="s">
        <v>33</v>
      </c>
      <c r="B35" s="43"/>
      <c r="C35" s="43"/>
      <c r="D35" s="30">
        <v>0</v>
      </c>
    </row>
    <row r="36" spans="1:9" ht="15">
      <c r="A36" s="51" t="s">
        <v>34</v>
      </c>
      <c r="B36" s="52"/>
      <c r="C36" s="52"/>
      <c r="D36" s="31">
        <f>MAX(0,D33*(1-D34)-D35)</f>
        <v>0</v>
      </c>
    </row>
    <row r="38" spans="1:9">
      <c r="A38" s="50" t="s">
        <v>35</v>
      </c>
      <c r="B38" s="43"/>
      <c r="C38" s="43"/>
      <c r="D38" s="43"/>
      <c r="E38" s="43"/>
      <c r="F38" s="43"/>
      <c r="G38" s="43"/>
      <c r="H38" s="43"/>
      <c r="I38" s="43"/>
    </row>
    <row r="39" spans="1:9">
      <c r="A39" s="43"/>
      <c r="B39" s="43"/>
      <c r="C39" s="43"/>
      <c r="D39" s="43"/>
      <c r="E39" s="43"/>
      <c r="F39" s="43"/>
      <c r="G39" s="43"/>
      <c r="H39" s="43"/>
      <c r="I39" s="43"/>
    </row>
    <row r="40" spans="1:9">
      <c r="A40" s="43"/>
      <c r="B40" s="43"/>
      <c r="C40" s="43"/>
      <c r="D40" s="43"/>
      <c r="E40" s="43"/>
      <c r="F40" s="43"/>
      <c r="G40" s="43"/>
      <c r="H40" s="43"/>
      <c r="I40" s="43"/>
    </row>
  </sheetData>
  <mergeCells count="20">
    <mergeCell ref="A36:C36"/>
    <mergeCell ref="A38:I40"/>
    <mergeCell ref="B12:D12"/>
    <mergeCell ref="B13:D13"/>
    <mergeCell ref="A15:I15"/>
    <mergeCell ref="A33:C33"/>
    <mergeCell ref="A34:C34"/>
    <mergeCell ref="A35:C35"/>
    <mergeCell ref="B11:D11"/>
    <mergeCell ref="A1:I1"/>
    <mergeCell ref="A3:I3"/>
    <mergeCell ref="B4:D4"/>
    <mergeCell ref="F4:I4"/>
    <mergeCell ref="B5:D5"/>
    <mergeCell ref="F5:I5"/>
    <mergeCell ref="B6:D6"/>
    <mergeCell ref="F6:I6"/>
    <mergeCell ref="B7:D7"/>
    <mergeCell ref="A9:I9"/>
    <mergeCell ref="B10:D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zoomScale="72" workbookViewId="0">
      <selection activeCell="F27" sqref="F27"/>
    </sheetView>
  </sheetViews>
  <sheetFormatPr defaultColWidth="8.73046875" defaultRowHeight="13.9"/>
  <cols>
    <col min="1" max="1" width="3.33203125" style="1" customWidth="1"/>
    <col min="2" max="2" width="48.33203125" style="1" customWidth="1"/>
    <col min="3" max="3" width="8.46484375" style="1" customWidth="1"/>
    <col min="4" max="5" width="16.06640625" style="1" bestFit="1" customWidth="1"/>
    <col min="6" max="6" width="15.33203125" style="1" bestFit="1" customWidth="1"/>
    <col min="7" max="7" width="15.06640625" style="1" bestFit="1" customWidth="1"/>
    <col min="8" max="8" width="16.46484375" style="1" customWidth="1"/>
    <col min="9" max="16384" width="8.73046875" style="1"/>
  </cols>
  <sheetData>
    <row r="1" spans="1:8" ht="15">
      <c r="C1" s="2" t="s">
        <v>1</v>
      </c>
    </row>
    <row r="2" spans="1:8" ht="15.4">
      <c r="C2" s="3" t="s">
        <v>2</v>
      </c>
    </row>
    <row r="3" spans="1:8" ht="15.4">
      <c r="C3" s="3"/>
    </row>
    <row r="4" spans="1:8" ht="15.4">
      <c r="C4" s="4" t="s">
        <v>3</v>
      </c>
    </row>
    <row r="5" spans="1:8" ht="18.75">
      <c r="A5" s="58" t="s">
        <v>37</v>
      </c>
      <c r="B5" s="59"/>
      <c r="C5" s="59"/>
      <c r="D5" s="59"/>
      <c r="E5" s="59"/>
      <c r="F5" s="59"/>
      <c r="G5" s="59"/>
      <c r="H5" s="59"/>
    </row>
    <row r="6" spans="1:8">
      <c r="F6" s="22" t="s">
        <v>4</v>
      </c>
    </row>
    <row r="7" spans="1:8" ht="15">
      <c r="A7" s="39" t="s">
        <v>38</v>
      </c>
      <c r="B7" s="39" t="s">
        <v>39</v>
      </c>
      <c r="C7" s="40" t="s">
        <v>23</v>
      </c>
      <c r="D7" s="41" t="s">
        <v>40</v>
      </c>
      <c r="E7" s="41" t="s">
        <v>41</v>
      </c>
      <c r="F7" s="41" t="s">
        <v>42</v>
      </c>
      <c r="G7" s="41" t="s">
        <v>43</v>
      </c>
      <c r="H7" s="40" t="s">
        <v>30</v>
      </c>
    </row>
    <row r="8" spans="1:8" ht="15.4">
      <c r="A8" s="5">
        <v>1</v>
      </c>
      <c r="B8" s="6"/>
      <c r="C8" s="23">
        <v>0</v>
      </c>
      <c r="D8" s="32">
        <v>0</v>
      </c>
      <c r="E8" s="32">
        <f>IFERROR(D8*C8,0)</f>
        <v>0</v>
      </c>
      <c r="F8" s="33"/>
      <c r="G8" s="32">
        <f>E8-IF(F8="",0,F8)</f>
        <v>0</v>
      </c>
      <c r="H8" s="55"/>
    </row>
    <row r="9" spans="1:8" ht="15.4">
      <c r="A9" s="5">
        <v>2</v>
      </c>
      <c r="B9" s="6"/>
      <c r="C9" s="23">
        <v>0</v>
      </c>
      <c r="D9" s="32"/>
      <c r="E9" s="32">
        <f>IFERROR(D9*C9,0)</f>
        <v>0</v>
      </c>
      <c r="F9" s="33"/>
      <c r="G9" s="32">
        <f>E9-IF(F9="",0,F9)</f>
        <v>0</v>
      </c>
      <c r="H9" s="56"/>
    </row>
    <row r="10" spans="1:8" ht="15.4">
      <c r="A10" s="5">
        <v>3</v>
      </c>
      <c r="B10" s="7"/>
      <c r="C10" s="23">
        <v>0</v>
      </c>
      <c r="D10" s="34"/>
      <c r="E10" s="32">
        <f>IFERROR(D10*C10,0)</f>
        <v>0</v>
      </c>
      <c r="F10" s="33"/>
      <c r="G10" s="32">
        <f>E10-IF(F10="",0,F10)</f>
        <v>0</v>
      </c>
      <c r="H10" s="57"/>
    </row>
    <row r="11" spans="1:8" ht="15.4">
      <c r="A11" s="5">
        <v>4</v>
      </c>
      <c r="B11" s="6"/>
      <c r="C11" s="23">
        <v>0</v>
      </c>
      <c r="D11" s="34"/>
      <c r="E11" s="32">
        <f>IFERROR(D11*C11,0)</f>
        <v>0</v>
      </c>
      <c r="F11" s="33"/>
      <c r="G11" s="32">
        <f>E11-IF(F11="",0,F11)</f>
        <v>0</v>
      </c>
      <c r="H11" s="8"/>
    </row>
    <row r="12" spans="1:8" ht="15.4">
      <c r="A12" s="9"/>
      <c r="B12" s="10" t="s">
        <v>5</v>
      </c>
      <c r="C12" s="9"/>
      <c r="D12" s="35" t="s">
        <v>6</v>
      </c>
      <c r="E12" s="35">
        <f>SUM(E8:E11)</f>
        <v>0</v>
      </c>
      <c r="F12" s="36" t="s">
        <v>6</v>
      </c>
      <c r="G12" s="37">
        <f>E12-IF(F12="",0,F12)</f>
        <v>0</v>
      </c>
      <c r="H12" s="11"/>
    </row>
    <row r="15" spans="1:8">
      <c r="B15" s="1" t="s">
        <v>7</v>
      </c>
    </row>
  </sheetData>
  <mergeCells count="2">
    <mergeCell ref="A5:H5"/>
    <mergeCell ref="H8:H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FORM_RU</vt:lpstr>
      <vt:lpstr>QUOTATION_RU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Thao Nguyen Phuong</dc:creator>
  <cp:lastModifiedBy>admin</cp:lastModifiedBy>
  <dcterms:created xsi:type="dcterms:W3CDTF">2026-01-20T05:08:51Z</dcterms:created>
  <dcterms:modified xsi:type="dcterms:W3CDTF">2026-01-20T05:09:06Z</dcterms:modified>
</cp:coreProperties>
</file>